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00ab776924ab77a/Documents/"/>
    </mc:Choice>
  </mc:AlternateContent>
  <xr:revisionPtr revIDLastSave="0" documentId="8_{A124EB87-7C5C-4142-AAAC-4A6FEE6EA95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ection1_Basics" sheetId="1" r:id="rId1"/>
    <sheet name="Section2_Formatting" sheetId="2" r:id="rId2"/>
    <sheet name="Section3_Sorting" sheetId="3" r:id="rId3"/>
    <sheet name="Section4_Dates" sheetId="4" r:id="rId4"/>
    <sheet name="Section5_Logical" sheetId="5" r:id="rId5"/>
    <sheet name="Section6_Cleaning" sheetId="6" r:id="rId6"/>
    <sheet name="Section7_Pivot" sheetId="7" r:id="rId7"/>
    <sheet name="Section8_Lookup" sheetId="8" r:id="rId8"/>
    <sheet name="Section9_Aggregation" sheetId="9" r:id="rId9"/>
    <sheet name="Section10_Conditional" sheetId="10" r:id="rId10"/>
    <sheet name="Section11_Consolidate" sheetId="11" r:id="rId11"/>
    <sheet name="Section12_Macros" sheetId="12" r:id="rId12"/>
    <sheet name="READM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1" l="1"/>
  <c r="E2" i="11"/>
  <c r="D2" i="11"/>
  <c r="B10" i="9"/>
  <c r="B9" i="9"/>
  <c r="B8" i="9"/>
  <c r="B7" i="9"/>
  <c r="B6" i="9"/>
  <c r="F5" i="9"/>
  <c r="E5" i="9"/>
  <c r="G2" i="9"/>
  <c r="F2" i="9"/>
  <c r="E2" i="9"/>
  <c r="B7" i="8"/>
  <c r="B6" i="8"/>
  <c r="F4" i="8"/>
  <c r="H2" i="8"/>
  <c r="F2" i="8"/>
  <c r="M2" i="6"/>
  <c r="L2" i="6"/>
  <c r="K2" i="6"/>
  <c r="J2" i="6"/>
  <c r="I2" i="6"/>
  <c r="H2" i="6"/>
  <c r="G2" i="6"/>
  <c r="F2" i="6"/>
  <c r="E2" i="6"/>
  <c r="D2" i="6"/>
  <c r="C2" i="6"/>
  <c r="B2" i="6"/>
  <c r="F3" i="5"/>
  <c r="E3" i="5"/>
  <c r="D3" i="5"/>
  <c r="C3" i="5"/>
  <c r="B3" i="5"/>
  <c r="F2" i="5"/>
  <c r="E2" i="5"/>
  <c r="D2" i="5"/>
  <c r="C2" i="5"/>
  <c r="B2" i="5"/>
  <c r="G3" i="4"/>
  <c r="F3" i="4"/>
  <c r="E3" i="4"/>
  <c r="D3" i="4"/>
  <c r="C3" i="4"/>
  <c r="H2" i="4"/>
  <c r="G2" i="4"/>
  <c r="F2" i="4"/>
  <c r="E2" i="4"/>
  <c r="D2" i="4"/>
  <c r="C2" i="4"/>
  <c r="B21" i="1"/>
  <c r="B15" i="1"/>
  <c r="B13" i="1"/>
  <c r="B11" i="1"/>
  <c r="B20" i="1" s="1"/>
  <c r="B17" i="1" l="1"/>
  <c r="B18" i="1"/>
  <c r="B19" i="1"/>
  <c r="B16" i="1"/>
</calcChain>
</file>

<file path=xl/sharedStrings.xml><?xml version="1.0" encoding="utf-8"?>
<sst xmlns="http://schemas.openxmlformats.org/spreadsheetml/2006/main" count="153" uniqueCount="106">
  <si>
    <t>Month</t>
  </si>
  <si>
    <t>Sales</t>
  </si>
  <si>
    <t>Jan</t>
  </si>
  <si>
    <t>Feb</t>
  </si>
  <si>
    <t>Mar</t>
  </si>
  <si>
    <t>Apr</t>
  </si>
  <si>
    <t>May</t>
  </si>
  <si>
    <t>Jun</t>
  </si>
  <si>
    <t>Task</t>
  </si>
  <si>
    <t>Formula / Answer</t>
  </si>
  <si>
    <t>Total Sales</t>
  </si>
  <si>
    <t>Highest Sales</t>
  </si>
  <si>
    <t>Lowest Sales</t>
  </si>
  <si>
    <t>2nd Lowest</t>
  </si>
  <si>
    <t>3rd Highest</t>
  </si>
  <si>
    <t>Median</t>
  </si>
  <si>
    <t>Product</t>
  </si>
  <si>
    <t>Performance</t>
  </si>
  <si>
    <t>Long Description</t>
  </si>
  <si>
    <t>Merged Header</t>
  </si>
  <si>
    <t>Chair</t>
  </si>
  <si>
    <t>Low</t>
  </si>
  <si>
    <t>This is a lengthy product description used to demonstrate wrap text and alignment formatting in Excel.</t>
  </si>
  <si>
    <t>Desk</t>
  </si>
  <si>
    <t>High</t>
  </si>
  <si>
    <t>Laptop</t>
  </si>
  <si>
    <t>Date</t>
  </si>
  <si>
    <t>Sorted A-Z</t>
  </si>
  <si>
    <t>2025-01-01</t>
  </si>
  <si>
    <t>2025-01-03</t>
  </si>
  <si>
    <t>2025-01-02</t>
  </si>
  <si>
    <t>Start Date</t>
  </si>
  <si>
    <t>End Date</t>
  </si>
  <si>
    <t>Duration</t>
  </si>
  <si>
    <t>Year</t>
  </si>
  <si>
    <t>Day</t>
  </si>
  <si>
    <t>DATEDIF Days</t>
  </si>
  <si>
    <t>TODAY</t>
  </si>
  <si>
    <t>2025-01-10</t>
  </si>
  <si>
    <t>2025-02-01</t>
  </si>
  <si>
    <t>2025-02-20</t>
  </si>
  <si>
    <t>Result</t>
  </si>
  <si>
    <t>AND Check</t>
  </si>
  <si>
    <t>OR Check</t>
  </si>
  <si>
    <t>IFERROR</t>
  </si>
  <si>
    <t>Combined Logic</t>
  </si>
  <si>
    <t>Original</t>
  </si>
  <si>
    <t>UPPER</t>
  </si>
  <si>
    <t>LOWER</t>
  </si>
  <si>
    <t>PROPER</t>
  </si>
  <si>
    <t>TRIM</t>
  </si>
  <si>
    <t>LEFT</t>
  </si>
  <si>
    <t>RIGHT</t>
  </si>
  <si>
    <t>MID</t>
  </si>
  <si>
    <t>LEN</t>
  </si>
  <si>
    <t>VALUE</t>
  </si>
  <si>
    <t>SEARCH</t>
  </si>
  <si>
    <t>FIND</t>
  </si>
  <si>
    <t>CONCAT</t>
  </si>
  <si>
    <t xml:space="preserve">  pallav mehta  </t>
  </si>
  <si>
    <t>Answer</t>
  </si>
  <si>
    <t>Region</t>
  </si>
  <si>
    <t>Pivot Table</t>
  </si>
  <si>
    <t>Insert &gt; Pivot Table &gt; Select Dataset &gt; Drag Region to Rows and Sales to Values</t>
  </si>
  <si>
    <t>West</t>
  </si>
  <si>
    <t>Grouping</t>
  </si>
  <si>
    <t>Right click date field &gt; Group by Month/Year</t>
  </si>
  <si>
    <t>East</t>
  </si>
  <si>
    <t>Conditional Formatting</t>
  </si>
  <si>
    <t>Home &gt; Conditional Formatting</t>
  </si>
  <si>
    <t>South</t>
  </si>
  <si>
    <t>Product ID</t>
  </si>
  <si>
    <t>Price</t>
  </si>
  <si>
    <t>Lookup ID</t>
  </si>
  <si>
    <t>HLOOKUP Demo</t>
  </si>
  <si>
    <t>Approx Match</t>
  </si>
  <si>
    <t>Lookup Formula</t>
  </si>
  <si>
    <t>HLOOKUP Formula</t>
  </si>
  <si>
    <t>Category</t>
  </si>
  <si>
    <t>COUNTIF</t>
  </si>
  <si>
    <t>SUMIF</t>
  </si>
  <si>
    <t>AVERAGEIF</t>
  </si>
  <si>
    <t>Furniture</t>
  </si>
  <si>
    <t>Technology</t>
  </si>
  <si>
    <t>COUNTIFS</t>
  </si>
  <si>
    <t>SUMIFS</t>
  </si>
  <si>
    <t>SUBTOTAL</t>
  </si>
  <si>
    <t>AVERAGE</t>
  </si>
  <si>
    <t>SUBTOTAL Formula</t>
  </si>
  <si>
    <t>What is VBA Macro?</t>
  </si>
  <si>
    <t>VBA Macros automate repetitive Excel tasks using Visual Basic for Applications.</t>
  </si>
  <si>
    <t>Enable Developer Tab</t>
  </si>
  <si>
    <t>File &gt; Options &gt; Customize Ribbon &gt; Tick Developer</t>
  </si>
  <si>
    <t>Create Macro</t>
  </si>
  <si>
    <t>Developer &gt; Record Macro &gt; Perform Task &gt; Stop Recording</t>
  </si>
  <si>
    <t>Run Macro</t>
  </si>
  <si>
    <t>Developer &gt; Macros &gt; Run</t>
  </si>
  <si>
    <t>VBA Workspace</t>
  </si>
  <si>
    <t>ALT + F11 opens VBA editor</t>
  </si>
  <si>
    <t>Alt + F11 opens VBA editor with Project Explorer and Code Window.</t>
  </si>
  <si>
    <t>Macro Security</t>
  </si>
  <si>
    <t>Enable macros only from trusted sources to avoid malware.</t>
  </si>
  <si>
    <t>Excel Practical Assignment Completion</t>
  </si>
  <si>
    <t>This workbook contains answers and examples for all 12 sections of the assignment.</t>
  </si>
  <si>
    <t>Most practical tasks are demonstrated using formulas, formatting, and examples.</t>
  </si>
  <si>
    <t>For Pivot Tables and Macros, instructions are provided as these require Excel UI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</si>
</sst>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4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.5" x14ac:dyDescent="0.35"/>
  <cols>
    <col min="1" max="1" width="18" customWidth="1"/>
    <col min="2" max="2" width="2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t="s">
        <v>2</v>
      </c>
      <c r="B2">
        <v>12000</v>
      </c>
    </row>
    <row r="3" spans="1:2" x14ac:dyDescent="0.35">
      <c r="A3" t="s">
        <v>3</v>
      </c>
      <c r="B3">
        <v>15000</v>
      </c>
    </row>
    <row r="4" spans="1:2" x14ac:dyDescent="0.35">
      <c r="A4" t="s">
        <v>4</v>
      </c>
      <c r="B4">
        <v>9000</v>
      </c>
    </row>
    <row r="5" spans="1:2" x14ac:dyDescent="0.35">
      <c r="A5" t="s">
        <v>5</v>
      </c>
      <c r="B5">
        <v>18000</v>
      </c>
    </row>
    <row r="6" spans="1:2" x14ac:dyDescent="0.35">
      <c r="A6" t="s">
        <v>6</v>
      </c>
      <c r="B6">
        <v>22000</v>
      </c>
    </row>
    <row r="7" spans="1:2" x14ac:dyDescent="0.35">
      <c r="A7" t="s">
        <v>7</v>
      </c>
      <c r="B7">
        <v>14000</v>
      </c>
    </row>
    <row r="9" spans="1:2" x14ac:dyDescent="0.35">
      <c r="A9" t="s">
        <v>8</v>
      </c>
      <c r="B9" t="s">
        <v>9</v>
      </c>
    </row>
    <row r="11" spans="1:2" x14ac:dyDescent="0.35">
      <c r="A11" t="s">
        <v>10</v>
      </c>
      <c r="B11">
        <f>SUM(B2:B7)</f>
        <v>90000</v>
      </c>
    </row>
    <row r="13" spans="1:2" x14ac:dyDescent="0.35">
      <c r="A13" t="s">
        <v>11</v>
      </c>
      <c r="B13">
        <f>MAX(B2:B7)</f>
        <v>22000</v>
      </c>
    </row>
    <row r="15" spans="1:2" x14ac:dyDescent="0.35">
      <c r="A15" t="s">
        <v>10</v>
      </c>
      <c r="B15">
        <f>SUM(B2:B13)</f>
        <v>202000</v>
      </c>
    </row>
    <row r="16" spans="1:2" x14ac:dyDescent="0.35">
      <c r="A16" t="s">
        <v>11</v>
      </c>
      <c r="B16">
        <f>MAX(B2:B13)</f>
        <v>90000</v>
      </c>
    </row>
    <row r="17" spans="1:2" x14ac:dyDescent="0.35">
      <c r="A17" t="s">
        <v>12</v>
      </c>
      <c r="B17">
        <f>MIN(B2:B13)</f>
        <v>9000</v>
      </c>
    </row>
    <row r="18" spans="1:2" x14ac:dyDescent="0.35">
      <c r="A18" t="s">
        <v>13</v>
      </c>
      <c r="B18">
        <f>SMALL(B2:B13,2)</f>
        <v>12000</v>
      </c>
    </row>
    <row r="19" spans="1:2" x14ac:dyDescent="0.35">
      <c r="A19" t="s">
        <v>14</v>
      </c>
      <c r="B19">
        <f>LARGE(B2:B13,3)</f>
        <v>22000</v>
      </c>
    </row>
    <row r="20" spans="1:2" x14ac:dyDescent="0.35">
      <c r="A20" t="s">
        <v>15</v>
      </c>
      <c r="B20">
        <f>MEDIAN(B2:B13)</f>
        <v>16500</v>
      </c>
    </row>
    <row r="21" spans="1:2" x14ac:dyDescent="0.35">
      <c r="A21" t="s">
        <v>15</v>
      </c>
      <c r="B21">
        <f>MEDIAN(B2:B7)</f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/>
  </sheetViews>
  <sheetFormatPr defaultRowHeight="14.5" x14ac:dyDescent="0.35"/>
  <cols>
    <col min="1" max="1" width="12" customWidth="1"/>
    <col min="2" max="2" width="10" customWidth="1"/>
    <col min="3" max="3" width="16" customWidth="1"/>
    <col min="4" max="4" width="5" customWidth="1"/>
    <col min="5" max="5" width="50" customWidth="1"/>
    <col min="6" max="6" width="5" customWidth="1"/>
    <col min="7" max="7" width="18" customWidth="1"/>
    <col min="8" max="8" width="5" customWidth="1"/>
  </cols>
  <sheetData>
    <row r="1" spans="1:8" x14ac:dyDescent="0.35">
      <c r="A1" s="3" t="s">
        <v>16</v>
      </c>
      <c r="B1" s="3" t="s">
        <v>1</v>
      </c>
      <c r="C1" s="3" t="s">
        <v>17</v>
      </c>
      <c r="E1" t="s">
        <v>18</v>
      </c>
      <c r="G1" s="6" t="s">
        <v>19</v>
      </c>
      <c r="H1" s="7"/>
    </row>
    <row r="2" spans="1:8" ht="29" x14ac:dyDescent="0.35">
      <c r="A2" t="s">
        <v>20</v>
      </c>
      <c r="B2" s="1">
        <v>5000</v>
      </c>
      <c r="C2" t="s">
        <v>21</v>
      </c>
      <c r="E2" s="4" t="s">
        <v>22</v>
      </c>
    </row>
    <row r="3" spans="1:8" x14ac:dyDescent="0.35">
      <c r="A3" t="s">
        <v>23</v>
      </c>
      <c r="B3" s="5">
        <v>18000</v>
      </c>
      <c r="C3" t="s">
        <v>24</v>
      </c>
    </row>
    <row r="4" spans="1:8" x14ac:dyDescent="0.35">
      <c r="A4" t="s">
        <v>25</v>
      </c>
      <c r="B4" s="5">
        <v>25000</v>
      </c>
      <c r="C4" t="s">
        <v>24</v>
      </c>
    </row>
  </sheetData>
  <mergeCells count="1">
    <mergeCell ref="G1:H1"/>
  </mergeCells>
  <conditionalFormatting sqref="B2:B4">
    <cfRule type="cellIs" dxfId="1" priority="1" operator="greaterThan">
      <formula>15000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5" x14ac:dyDescent="0.35"/>
  <cols>
    <col min="1" max="1" width="15" customWidth="1"/>
    <col min="2" max="2" width="12" customWidth="1"/>
    <col min="3" max="3" width="10" customWidth="1"/>
    <col min="4" max="4" width="5" customWidth="1"/>
    <col min="5" max="5" width="15" customWidth="1"/>
  </cols>
  <sheetData>
    <row r="1" spans="1:5" x14ac:dyDescent="0.35">
      <c r="A1" s="3" t="s">
        <v>26</v>
      </c>
      <c r="B1" s="3" t="s">
        <v>16</v>
      </c>
      <c r="C1" s="3" t="s">
        <v>1</v>
      </c>
      <c r="E1" t="s">
        <v>27</v>
      </c>
    </row>
    <row r="2" spans="1:5" x14ac:dyDescent="0.35">
      <c r="A2" t="s">
        <v>28</v>
      </c>
      <c r="B2" t="s">
        <v>20</v>
      </c>
      <c r="C2">
        <v>5000</v>
      </c>
      <c r="E2" t="s">
        <v>20</v>
      </c>
    </row>
    <row r="3" spans="1:5" x14ac:dyDescent="0.35">
      <c r="A3" t="s">
        <v>29</v>
      </c>
      <c r="B3" t="s">
        <v>23</v>
      </c>
      <c r="C3">
        <v>9000</v>
      </c>
      <c r="E3" t="s">
        <v>23</v>
      </c>
    </row>
    <row r="4" spans="1:5" x14ac:dyDescent="0.35">
      <c r="A4" t="s">
        <v>30</v>
      </c>
      <c r="B4" t="s">
        <v>25</v>
      </c>
      <c r="C4">
        <v>20000</v>
      </c>
      <c r="E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4.5" x14ac:dyDescent="0.35"/>
  <cols>
    <col min="1" max="2" width="15" customWidth="1"/>
    <col min="3" max="3" width="13" customWidth="1"/>
    <col min="4" max="4" width="14" customWidth="1"/>
    <col min="5" max="5" width="15" customWidth="1"/>
    <col min="6" max="6" width="13" customWidth="1"/>
    <col min="7" max="7" width="24" customWidth="1"/>
    <col min="8" max="8" width="13" customWidth="1"/>
  </cols>
  <sheetData>
    <row r="1" spans="1:8" x14ac:dyDescent="0.35">
      <c r="A1" s="3" t="s">
        <v>31</v>
      </c>
      <c r="B1" s="3" t="s">
        <v>32</v>
      </c>
      <c r="C1" s="3" t="s">
        <v>33</v>
      </c>
      <c r="D1" s="3" t="s">
        <v>34</v>
      </c>
      <c r="E1" s="3" t="s">
        <v>0</v>
      </c>
      <c r="F1" s="3" t="s">
        <v>35</v>
      </c>
      <c r="G1" t="s">
        <v>36</v>
      </c>
      <c r="H1" t="s">
        <v>37</v>
      </c>
    </row>
    <row r="2" spans="1:8" x14ac:dyDescent="0.35">
      <c r="A2" t="s">
        <v>28</v>
      </c>
      <c r="B2" t="s">
        <v>38</v>
      </c>
      <c r="C2">
        <f>B2-A2</f>
        <v>9</v>
      </c>
      <c r="D2">
        <f>YEAR(A2)</f>
        <v>2025</v>
      </c>
      <c r="E2">
        <f>MONTH(A2)</f>
        <v>1</v>
      </c>
      <c r="F2">
        <f>DAY(A2)</f>
        <v>1</v>
      </c>
      <c r="G2">
        <f>DATEDIF(A2,B2,"d")</f>
        <v>9</v>
      </c>
      <c r="H2">
        <f ca="1">TODAY()</f>
        <v>46162</v>
      </c>
    </row>
    <row r="3" spans="1:8" x14ac:dyDescent="0.35">
      <c r="A3" t="s">
        <v>39</v>
      </c>
      <c r="B3" t="s">
        <v>40</v>
      </c>
      <c r="C3">
        <f>B3-A3</f>
        <v>19</v>
      </c>
      <c r="D3">
        <f>YEAR(A3)</f>
        <v>2025</v>
      </c>
      <c r="E3">
        <f>MONTH(A3)</f>
        <v>2</v>
      </c>
      <c r="F3">
        <f>DAY(A3)</f>
        <v>1</v>
      </c>
      <c r="G3">
        <f>DATEDIF(A3,B3,"d")</f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5" x14ac:dyDescent="0.35"/>
  <cols>
    <col min="1" max="1" width="10" customWidth="1"/>
    <col min="2" max="2" width="31" customWidth="1"/>
    <col min="3" max="3" width="27" customWidth="1"/>
    <col min="4" max="4" width="26" customWidth="1"/>
    <col min="5" max="5" width="35" customWidth="1"/>
    <col min="6" max="6" width="48" customWidth="1"/>
  </cols>
  <sheetData>
    <row r="1" spans="1:6" x14ac:dyDescent="0.35">
      <c r="A1" s="3" t="s">
        <v>1</v>
      </c>
      <c r="B1" s="3" t="s">
        <v>41</v>
      </c>
      <c r="C1" s="3" t="s">
        <v>42</v>
      </c>
      <c r="D1" s="3" t="s">
        <v>43</v>
      </c>
      <c r="E1" s="3" t="s">
        <v>44</v>
      </c>
      <c r="F1" t="s">
        <v>45</v>
      </c>
    </row>
    <row r="2" spans="1:6" x14ac:dyDescent="0.35">
      <c r="A2">
        <v>5000</v>
      </c>
      <c r="B2" t="str">
        <f>IF(A2&gt;10000,"High","Low")</f>
        <v>Low</v>
      </c>
      <c r="C2" t="b">
        <f>AND(A2&gt;3000,A2&lt;10000)</f>
        <v>1</v>
      </c>
      <c r="D2" t="b">
        <f>OR(A2&gt;10000,A2&lt;7000)</f>
        <v>1</v>
      </c>
      <c r="E2" t="str">
        <f>IFERROR(A2/0,"Error Handled")</f>
        <v>Error Handled</v>
      </c>
      <c r="F2" t="str">
        <f>IF(AND(A2&gt;3000,A2&lt;10000),"Medium","Other")</f>
        <v>Medium</v>
      </c>
    </row>
    <row r="3" spans="1:6" x14ac:dyDescent="0.35">
      <c r="A3">
        <v>15000</v>
      </c>
      <c r="B3" t="str">
        <f>IF(A3&gt;10000,"High","Low")</f>
        <v>High</v>
      </c>
      <c r="C3" t="b">
        <f>AND(A3&gt;3000,A3&lt;10000)</f>
        <v>0</v>
      </c>
      <c r="D3" t="b">
        <f>OR(A3&gt;10000,A3&lt;7000)</f>
        <v>1</v>
      </c>
      <c r="E3" t="str">
        <f>IFERROR(A3/0,"Error Handled")</f>
        <v>Error Handled</v>
      </c>
      <c r="F3" t="str">
        <f>IF(AND(A3&gt;3000,A3&lt;10000),"Medium","Other")</f>
        <v>Other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workbookViewId="0"/>
  </sheetViews>
  <sheetFormatPr defaultRowHeight="14.5" x14ac:dyDescent="0.35"/>
  <cols>
    <col min="1" max="1" width="21" customWidth="1"/>
    <col min="2" max="3" width="15" customWidth="1"/>
    <col min="4" max="4" width="16" customWidth="1"/>
    <col min="5" max="5" width="14" customWidth="1"/>
    <col min="6" max="6" width="22" customWidth="1"/>
    <col min="7" max="8" width="23" customWidth="1"/>
    <col min="9" max="9" width="19" customWidth="1"/>
    <col min="10" max="10" width="18" customWidth="1"/>
    <col min="11" max="11" width="21" customWidth="1"/>
    <col min="12" max="12" width="25" customWidth="1"/>
    <col min="13" max="13" width="39" customWidth="1"/>
  </cols>
  <sheetData>
    <row r="1" spans="1:13" x14ac:dyDescent="0.35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35">
      <c r="A2" t="s">
        <v>59</v>
      </c>
      <c r="B2" t="str">
        <f>UPPER(A2)</f>
        <v xml:space="preserve">  PALLAV MEHTA  </v>
      </c>
      <c r="C2" t="str">
        <f>LOWER(A2)</f>
        <v xml:space="preserve">  pallav mehta  </v>
      </c>
      <c r="D2" t="str">
        <f>PROPER(A2)</f>
        <v xml:space="preserve">  Pallav Mehta  </v>
      </c>
      <c r="E2" t="str">
        <f>TRIM(A2)</f>
        <v>pallav mehta</v>
      </c>
      <c r="F2" t="str">
        <f>LEFT(TRIM(A2),6)</f>
        <v>pallav</v>
      </c>
      <c r="G2" t="str">
        <f>RIGHT(TRIM(A2),5)</f>
        <v>mehta</v>
      </c>
      <c r="H2" t="str">
        <f>MID(TRIM(A2),1,6)</f>
        <v>pallav</v>
      </c>
      <c r="I2">
        <f>LEN(TRIM(A2))</f>
        <v>12</v>
      </c>
      <c r="J2">
        <f>VALUE("123")</f>
        <v>123</v>
      </c>
      <c r="K2">
        <f>SEARCH("me",A2)</f>
        <v>10</v>
      </c>
      <c r="L2">
        <f>FIND("me",TRIM(A2))</f>
        <v>8</v>
      </c>
      <c r="M2" t="str">
        <f>CONCATENATE("Pallav"," ","Mehta")</f>
        <v>Pallav Mehta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.5" x14ac:dyDescent="0.35"/>
  <cols>
    <col min="1" max="1" width="27" customWidth="1"/>
    <col min="2" max="2" width="50" customWidth="1"/>
    <col min="3" max="3" width="5" customWidth="1"/>
    <col min="4" max="4" width="11" customWidth="1"/>
    <col min="5" max="5" width="16" customWidth="1"/>
  </cols>
  <sheetData>
    <row r="1" spans="1:5" x14ac:dyDescent="0.35">
      <c r="A1" s="3" t="s">
        <v>8</v>
      </c>
      <c r="B1" s="3" t="s">
        <v>60</v>
      </c>
      <c r="C1" s="3"/>
      <c r="D1" s="3" t="s">
        <v>61</v>
      </c>
      <c r="E1" s="3" t="s">
        <v>10</v>
      </c>
    </row>
    <row r="2" spans="1:5" x14ac:dyDescent="0.35">
      <c r="A2" t="s">
        <v>62</v>
      </c>
      <c r="B2" t="s">
        <v>63</v>
      </c>
      <c r="D2" t="s">
        <v>64</v>
      </c>
      <c r="E2">
        <v>32000</v>
      </c>
    </row>
    <row r="3" spans="1:5" x14ac:dyDescent="0.35">
      <c r="A3" t="s">
        <v>65</v>
      </c>
      <c r="B3" t="s">
        <v>66</v>
      </c>
      <c r="D3" t="s">
        <v>67</v>
      </c>
      <c r="E3">
        <v>18000</v>
      </c>
    </row>
    <row r="4" spans="1:5" x14ac:dyDescent="0.35">
      <c r="A4" t="s">
        <v>68</v>
      </c>
      <c r="B4" t="s">
        <v>69</v>
      </c>
      <c r="D4" t="s">
        <v>70</v>
      </c>
      <c r="E4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4.5" x14ac:dyDescent="0.35"/>
  <cols>
    <col min="1" max="1" width="20" customWidth="1"/>
    <col min="2" max="2" width="36" customWidth="1"/>
    <col min="3" max="3" width="10" customWidth="1"/>
    <col min="4" max="4" width="5" customWidth="1"/>
    <col min="5" max="5" width="17" customWidth="1"/>
    <col min="6" max="6" width="31" customWidth="1"/>
    <col min="7" max="7" width="5" customWidth="1"/>
    <col min="8" max="8" width="35" customWidth="1"/>
  </cols>
  <sheetData>
    <row r="1" spans="1:8" x14ac:dyDescent="0.35">
      <c r="A1" s="3" t="s">
        <v>71</v>
      </c>
      <c r="B1" s="3" t="s">
        <v>16</v>
      </c>
      <c r="C1" s="3" t="s">
        <v>72</v>
      </c>
      <c r="E1" t="s">
        <v>73</v>
      </c>
      <c r="F1" t="s">
        <v>72</v>
      </c>
      <c r="H1" t="s">
        <v>74</v>
      </c>
    </row>
    <row r="2" spans="1:8" x14ac:dyDescent="0.35">
      <c r="A2">
        <v>101</v>
      </c>
      <c r="B2" t="s">
        <v>20</v>
      </c>
      <c r="C2">
        <v>5000</v>
      </c>
      <c r="E2">
        <v>102</v>
      </c>
      <c r="F2">
        <f>VLOOKUP(E2,A2:C4,3,FALSE)</f>
        <v>9000</v>
      </c>
      <c r="H2" t="e">
        <f>HLOOKUP("Desk",B1:C4,3,FALSE)</f>
        <v>#N/A</v>
      </c>
    </row>
    <row r="3" spans="1:8" x14ac:dyDescent="0.35">
      <c r="A3">
        <v>102</v>
      </c>
      <c r="B3" t="s">
        <v>23</v>
      </c>
      <c r="C3">
        <v>9000</v>
      </c>
    </row>
    <row r="4" spans="1:8" x14ac:dyDescent="0.35">
      <c r="A4">
        <v>103</v>
      </c>
      <c r="B4" t="s">
        <v>25</v>
      </c>
      <c r="C4">
        <v>25000</v>
      </c>
      <c r="E4" t="s">
        <v>75</v>
      </c>
      <c r="F4">
        <f>VLOOKUP(102,A2:C4,3,TRUE)</f>
        <v>9000</v>
      </c>
    </row>
    <row r="6" spans="1:8" x14ac:dyDescent="0.35">
      <c r="A6" t="s">
        <v>76</v>
      </c>
      <c r="B6">
        <f>VLOOKUP(102,A2:C4,3,FALSE)</f>
        <v>9000</v>
      </c>
    </row>
    <row r="7" spans="1:8" x14ac:dyDescent="0.35">
      <c r="A7" t="s">
        <v>77</v>
      </c>
      <c r="B7">
        <f>HLOOKUP("Price",A1:C4,4,FALSE)</f>
        <v>25000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4.5" x14ac:dyDescent="0.35"/>
  <cols>
    <col min="1" max="1" width="15" customWidth="1"/>
    <col min="2" max="2" width="50" customWidth="1"/>
    <col min="3" max="3" width="10" customWidth="1"/>
    <col min="4" max="4" width="5" customWidth="1"/>
    <col min="5" max="5" width="46" customWidth="1"/>
    <col min="6" max="6" width="50" customWidth="1"/>
    <col min="7" max="7" width="40" customWidth="1"/>
  </cols>
  <sheetData>
    <row r="1" spans="1:7" x14ac:dyDescent="0.35">
      <c r="A1" s="3" t="s">
        <v>78</v>
      </c>
      <c r="B1" s="3" t="s">
        <v>61</v>
      </c>
      <c r="C1" s="3" t="s">
        <v>1</v>
      </c>
      <c r="E1" t="s">
        <v>79</v>
      </c>
      <c r="F1" t="s">
        <v>80</v>
      </c>
      <c r="G1" t="s">
        <v>81</v>
      </c>
    </row>
    <row r="2" spans="1:7" x14ac:dyDescent="0.35">
      <c r="A2" t="s">
        <v>82</v>
      </c>
      <c r="B2" t="s">
        <v>64</v>
      </c>
      <c r="C2">
        <v>12000</v>
      </c>
      <c r="E2">
        <f>COUNTIF(C2:C4,"&gt;10000")</f>
        <v>2</v>
      </c>
      <c r="F2">
        <f>SUMIF(A2:A4,"Furniture",C2:C4)</f>
        <v>21000</v>
      </c>
      <c r="G2">
        <f>AVERAGEIF(A2:A4,"Furniture",C2:C4)</f>
        <v>10500</v>
      </c>
    </row>
    <row r="3" spans="1:7" x14ac:dyDescent="0.35">
      <c r="A3" t="s">
        <v>82</v>
      </c>
      <c r="B3" t="s">
        <v>67</v>
      </c>
      <c r="C3">
        <v>9000</v>
      </c>
    </row>
    <row r="4" spans="1:7" x14ac:dyDescent="0.35">
      <c r="A4" t="s">
        <v>83</v>
      </c>
      <c r="B4" t="s">
        <v>64</v>
      </c>
      <c r="C4">
        <v>20000</v>
      </c>
      <c r="E4" t="s">
        <v>84</v>
      </c>
      <c r="F4" t="s">
        <v>85</v>
      </c>
    </row>
    <row r="5" spans="1:7" x14ac:dyDescent="0.35">
      <c r="E5">
        <f>COUNTIFS(A2:A4,"Furniture",B2:B4,"West")</f>
        <v>1</v>
      </c>
      <c r="F5">
        <f>SUMIFS(C2:C4,A2:A4,"Furniture",B2:B4,"West")</f>
        <v>12000</v>
      </c>
    </row>
    <row r="6" spans="1:7" x14ac:dyDescent="0.35">
      <c r="A6" t="s">
        <v>79</v>
      </c>
      <c r="B6">
        <f>COUNTIF(A2:A4,"Furniture")</f>
        <v>2</v>
      </c>
    </row>
    <row r="7" spans="1:7" x14ac:dyDescent="0.35">
      <c r="A7" t="s">
        <v>80</v>
      </c>
      <c r="B7">
        <f>SUMIF(A2:A4,"Furniture",C2:C4)</f>
        <v>21000</v>
      </c>
    </row>
    <row r="8" spans="1:7" x14ac:dyDescent="0.35">
      <c r="A8" t="s">
        <v>81</v>
      </c>
      <c r="B8">
        <f>AVERAGEIF(A2:A4,"Furniture",C2:C4)</f>
        <v>10500</v>
      </c>
    </row>
    <row r="9" spans="1:7" x14ac:dyDescent="0.35">
      <c r="A9" t="s">
        <v>84</v>
      </c>
      <c r="B9">
        <f>COUNTIFS(A2:A4,"Furniture",B2:B4,"West")</f>
        <v>1</v>
      </c>
    </row>
    <row r="10" spans="1:7" x14ac:dyDescent="0.35">
      <c r="A10" t="s">
        <v>85</v>
      </c>
      <c r="B10">
        <f>SUMIFS(C2:C4,A2:A4,"Furniture",B2:B4,"West")</f>
        <v>12000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5" x14ac:dyDescent="0.35"/>
  <cols>
    <col min="1" max="1" width="12" customWidth="1"/>
    <col min="2" max="2" width="10" customWidth="1"/>
  </cols>
  <sheetData>
    <row r="1" spans="1:2" x14ac:dyDescent="0.35">
      <c r="A1" s="3" t="s">
        <v>16</v>
      </c>
      <c r="B1" s="3" t="s">
        <v>1</v>
      </c>
    </row>
    <row r="2" spans="1:2" x14ac:dyDescent="0.35">
      <c r="A2" t="s">
        <v>20</v>
      </c>
      <c r="B2">
        <v>5000</v>
      </c>
    </row>
    <row r="3" spans="1:2" x14ac:dyDescent="0.35">
      <c r="A3" t="s">
        <v>23</v>
      </c>
      <c r="B3">
        <v>18000</v>
      </c>
    </row>
    <row r="4" spans="1:2" x14ac:dyDescent="0.35">
      <c r="A4" t="s">
        <v>25</v>
      </c>
      <c r="B4">
        <v>25000</v>
      </c>
    </row>
  </sheetData>
  <conditionalFormatting sqref="B2:B4">
    <cfRule type="cellIs" dxfId="0" priority="1" operator="greaterThan">
      <formula>15000</formula>
    </cfRule>
    <cfRule type="colorScale" priority="3">
      <colorScale>
        <cfvo type="min"/>
        <cfvo type="max"/>
        <color rgb="FFFFF2CC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/>
  </sheetViews>
  <sheetFormatPr defaultRowHeight="14.5" x14ac:dyDescent="0.35"/>
  <cols>
    <col min="1" max="1" width="21" customWidth="1"/>
    <col min="2" max="2" width="23" customWidth="1"/>
    <col min="3" max="3" width="5" customWidth="1"/>
    <col min="4" max="5" width="23" customWidth="1"/>
  </cols>
  <sheetData>
    <row r="1" spans="1:5" x14ac:dyDescent="0.35">
      <c r="A1" s="3" t="s">
        <v>0</v>
      </c>
      <c r="B1" s="3" t="s">
        <v>1</v>
      </c>
      <c r="D1" t="s">
        <v>86</v>
      </c>
      <c r="E1" t="s">
        <v>87</v>
      </c>
    </row>
    <row r="2" spans="1:5" x14ac:dyDescent="0.35">
      <c r="A2" t="s">
        <v>2</v>
      </c>
      <c r="B2">
        <v>12000</v>
      </c>
      <c r="D2">
        <f>SUBTOTAL(9,B2:B4)</f>
        <v>44000</v>
      </c>
      <c r="E2">
        <f>SUBTOTAL(1,B2:B4)</f>
        <v>14666.666666666666</v>
      </c>
    </row>
    <row r="3" spans="1:5" x14ac:dyDescent="0.35">
      <c r="A3" t="s">
        <v>3</v>
      </c>
      <c r="B3">
        <v>14000</v>
      </c>
    </row>
    <row r="4" spans="1:5" x14ac:dyDescent="0.35">
      <c r="A4" t="s">
        <v>4</v>
      </c>
      <c r="B4">
        <v>18000</v>
      </c>
    </row>
    <row r="6" spans="1:5" x14ac:dyDescent="0.35">
      <c r="A6" t="s">
        <v>88</v>
      </c>
      <c r="B6">
        <f>SUBTOTAL(9,B2:B4)</f>
        <v>44000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/>
  </sheetViews>
  <sheetFormatPr defaultRowHeight="14.5" x14ac:dyDescent="0.35"/>
  <cols>
    <col min="1" max="1" width="25" customWidth="1"/>
    <col min="2" max="2" width="50" customWidth="1"/>
  </cols>
  <sheetData>
    <row r="1" spans="1:2" x14ac:dyDescent="0.35">
      <c r="A1" s="3" t="s">
        <v>8</v>
      </c>
      <c r="B1" s="3" t="s">
        <v>60</v>
      </c>
    </row>
    <row r="2" spans="1:2" x14ac:dyDescent="0.35">
      <c r="A2" t="s">
        <v>89</v>
      </c>
      <c r="B2" t="s">
        <v>90</v>
      </c>
    </row>
    <row r="3" spans="1:2" x14ac:dyDescent="0.35">
      <c r="A3" t="s">
        <v>91</v>
      </c>
      <c r="B3" t="s">
        <v>92</v>
      </c>
    </row>
    <row r="4" spans="1:2" x14ac:dyDescent="0.35">
      <c r="A4" t="s">
        <v>93</v>
      </c>
      <c r="B4" t="s">
        <v>94</v>
      </c>
    </row>
    <row r="5" spans="1:2" x14ac:dyDescent="0.35">
      <c r="A5" t="s">
        <v>95</v>
      </c>
      <c r="B5" t="s">
        <v>96</v>
      </c>
    </row>
    <row r="6" spans="1:2" x14ac:dyDescent="0.35">
      <c r="A6" t="s">
        <v>97</v>
      </c>
      <c r="B6" t="s">
        <v>98</v>
      </c>
    </row>
    <row r="7" spans="1:2" x14ac:dyDescent="0.35">
      <c r="A7" t="s">
        <v>97</v>
      </c>
      <c r="B7" t="s">
        <v>99</v>
      </c>
    </row>
    <row r="8" spans="1:2" x14ac:dyDescent="0.35">
      <c r="A8" t="s">
        <v>100</v>
      </c>
      <c r="B8" t="s">
        <v>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"/>
  <sheetViews>
    <sheetView workbookViewId="0"/>
  </sheetViews>
  <sheetFormatPr defaultRowHeight="14.5" x14ac:dyDescent="0.35"/>
  <cols>
    <col min="1" max="1" width="50" customWidth="1"/>
  </cols>
  <sheetData>
    <row r="1" spans="1:1" ht="18.5" x14ac:dyDescent="0.45">
      <c r="A1" s="2" t="s">
        <v>102</v>
      </c>
    </row>
    <row r="2" spans="1:1" x14ac:dyDescent="0.35">
      <c r="A2" t="s">
        <v>103</v>
      </c>
    </row>
    <row r="3" spans="1:1" x14ac:dyDescent="0.35">
      <c r="A3" t="s">
        <v>104</v>
      </c>
    </row>
    <row r="4" spans="1:1" x14ac:dyDescent="0.35">
      <c r="A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Section1_Basics</vt:lpstr>
      <vt:lpstr>Section2_Formatting</vt:lpstr>
      <vt:lpstr>Section3_Sorting</vt:lpstr>
      <vt:lpstr>Section4_Dates</vt:lpstr>
      <vt:lpstr>Section5_Logical</vt:lpstr>
      <vt:lpstr>Section6_Cleaning</vt:lpstr>
      <vt:lpstr>Section7_Pivot</vt:lpstr>
      <vt:lpstr>Section8_Lookup</vt:lpstr>
      <vt:lpstr>Section9_Aggregation</vt:lpstr>
      <vt:lpstr>Section10_Conditional</vt:lpstr>
      <vt:lpstr>Section11_Consolidate</vt:lpstr>
      <vt:lpstr>Section12_Macros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pallavdaru@outlook.com</cp:lastModifiedBy>
  <dcterms:created xsi:type="dcterms:W3CDTF">2026-05-20T08:24:05Z</dcterms:created>
  <dcterms:modified xsi:type="dcterms:W3CDTF">2026-05-20T08:46:08Z</dcterms:modified>
</cp:coreProperties>
</file>